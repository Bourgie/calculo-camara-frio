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Gu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8" customWidth="1" min="3" max="3"/>
  </cols>
  <sheetData>
    <row r="1">
      <c r="A1" s="1" t="inlineStr">
        <is>
          <t>CALCULADORA RÁPIDA DE CÁMARA FRIGORÍFICA</t>
        </is>
      </c>
    </row>
    <row r="2">
      <c r="A2" s="2" t="inlineStr">
        <is>
          <t>Predimensionamiento orientativo. El resultado final debe verificarse con cálculo de carga térmica y capacidad real del equipo.</t>
        </is>
      </c>
    </row>
    <row r="4">
      <c r="A4" s="3" t="inlineStr">
        <is>
          <t>Largo interior</t>
        </is>
      </c>
      <c r="B4" s="4" t="inlineStr"/>
      <c r="C4" s="5" t="inlineStr">
        <is>
          <t>m</t>
        </is>
      </c>
    </row>
    <row r="5">
      <c r="A5" s="3" t="inlineStr">
        <is>
          <t>Ancho interior</t>
        </is>
      </c>
      <c r="B5" s="4" t="inlineStr"/>
      <c r="C5" s="5" t="inlineStr">
        <is>
          <t>m</t>
        </is>
      </c>
    </row>
    <row r="6">
      <c r="A6" s="3" t="inlineStr">
        <is>
          <t>Alto interior</t>
        </is>
      </c>
      <c r="B6" s="4" t="inlineStr"/>
      <c r="C6" s="5" t="inlineStr">
        <is>
          <t>m</t>
        </is>
      </c>
    </row>
    <row r="7">
      <c r="A7" s="3" t="inlineStr">
        <is>
          <t>Temperatura interior</t>
        </is>
      </c>
      <c r="B7" s="4" t="inlineStr">
        <is>
          <t>Seleccionar</t>
        </is>
      </c>
      <c r="C7" s="5" t="inlineStr">
        <is>
          <t>°C</t>
        </is>
      </c>
    </row>
    <row r="8">
      <c r="A8" s="3" t="inlineStr">
        <is>
          <t>Temperatura exterior máxima</t>
        </is>
      </c>
      <c r="B8" s="4" t="inlineStr">
        <is>
          <t>Seleccionar</t>
        </is>
      </c>
      <c r="C8" s="5" t="inlineStr">
        <is>
          <t>°C</t>
        </is>
      </c>
    </row>
    <row r="9">
      <c r="A9" s="3" t="inlineStr">
        <is>
          <t>Tipo de aislación</t>
        </is>
      </c>
      <c r="B9" s="4" t="inlineStr">
        <is>
          <t>Panel PU</t>
        </is>
      </c>
      <c r="C9" s="5" t="inlineStr"/>
    </row>
    <row r="10">
      <c r="A10" s="3" t="inlineStr">
        <is>
          <t>Espesor de aislación</t>
        </is>
      </c>
      <c r="B10" s="4" t="inlineStr">
        <is>
          <t>Seleccionar</t>
        </is>
      </c>
      <c r="C10" s="5" t="inlineStr">
        <is>
          <t>mm</t>
        </is>
      </c>
    </row>
    <row r="11">
      <c r="A11" s="3" t="inlineStr">
        <is>
          <t>Piso aislado</t>
        </is>
      </c>
      <c r="B11" s="4" t="inlineStr">
        <is>
          <t>Sí</t>
        </is>
      </c>
      <c r="C11" s="5" t="inlineStr"/>
    </row>
    <row r="12">
      <c r="A12" s="3" t="inlineStr">
        <is>
          <t>Tipo de servicio</t>
        </is>
      </c>
      <c r="B12" s="4" t="inlineStr">
        <is>
          <t>Conservación</t>
        </is>
      </c>
      <c r="C12" s="5" t="inlineStr"/>
    </row>
    <row r="13">
      <c r="A13" s="3" t="inlineStr">
        <is>
          <t>Producto</t>
        </is>
      </c>
      <c r="B13" s="4" t="inlineStr">
        <is>
          <t>Seleccionar</t>
        </is>
      </c>
      <c r="C13" s="5" t="inlineStr"/>
    </row>
    <row r="14">
      <c r="A14" s="3" t="inlineStr">
        <is>
          <t>Cantidad total almacenada</t>
        </is>
      </c>
      <c r="B14" s="4" t="inlineStr"/>
      <c r="C14" s="5" t="inlineStr">
        <is>
          <t>kg</t>
        </is>
      </c>
    </row>
    <row r="15">
      <c r="A15" s="3" t="inlineStr">
        <is>
          <t>Ingreso de producto por día</t>
        </is>
      </c>
      <c r="B15" s="4" t="inlineStr"/>
      <c r="C15" s="5" t="inlineStr">
        <is>
          <t>kg/día</t>
        </is>
      </c>
    </row>
    <row r="16">
      <c r="A16" s="3" t="inlineStr">
        <is>
          <t>Temperatura de ingreso producto</t>
        </is>
      </c>
      <c r="B16" s="4" t="inlineStr"/>
      <c r="C16" s="5" t="inlineStr">
        <is>
          <t>°C</t>
        </is>
      </c>
    </row>
    <row r="17">
      <c r="A17" s="3" t="inlineStr">
        <is>
          <t>Temperatura final producto</t>
        </is>
      </c>
      <c r="B17" s="4" t="inlineStr"/>
      <c r="C17" s="5" t="inlineStr">
        <is>
          <t>°C</t>
        </is>
      </c>
    </row>
    <row r="18">
      <c r="A18" s="3" t="inlineStr">
        <is>
          <t>Tiempo para enfriar/congelar</t>
        </is>
      </c>
      <c r="B18" s="4" t="inlineStr">
        <is>
          <t>24</t>
        </is>
      </c>
      <c r="C18" s="5" t="inlineStr">
        <is>
          <t>h</t>
        </is>
      </c>
    </row>
    <row r="19">
      <c r="A19" s="3" t="inlineStr">
        <is>
          <t>Ancho de puerta</t>
        </is>
      </c>
      <c r="B19" s="4" t="inlineStr"/>
      <c r="C19" s="5" t="inlineStr">
        <is>
          <t>m</t>
        </is>
      </c>
    </row>
    <row r="20">
      <c r="A20" s="3" t="inlineStr">
        <is>
          <t>Alto de puerta</t>
        </is>
      </c>
      <c r="B20" s="4" t="inlineStr"/>
      <c r="C20" s="5" t="inlineStr">
        <is>
          <t>m</t>
        </is>
      </c>
    </row>
    <row r="21">
      <c r="A21" s="3" t="inlineStr">
        <is>
          <t>Aperturas estimadas</t>
        </is>
      </c>
      <c r="B21" s="4" t="inlineStr">
        <is>
          <t>Media</t>
        </is>
      </c>
      <c r="C21" s="5" t="inlineStr"/>
    </row>
    <row r="22">
      <c r="A22" s="3" t="inlineStr">
        <is>
          <t>Personas promedio</t>
        </is>
      </c>
      <c r="B22" s="4" t="inlineStr">
        <is>
          <t>0</t>
        </is>
      </c>
      <c r="C22" s="5" t="inlineStr"/>
    </row>
    <row r="23">
      <c r="A23" s="3" t="inlineStr">
        <is>
          <t>Horas de trabajo por día</t>
        </is>
      </c>
      <c r="B23" s="4" t="inlineStr">
        <is>
          <t>0</t>
        </is>
      </c>
      <c r="C23" s="5" t="inlineStr">
        <is>
          <t>h</t>
        </is>
      </c>
    </row>
    <row r="24">
      <c r="A24" s="3" t="inlineStr">
        <is>
          <t>Iluminación</t>
        </is>
      </c>
      <c r="B24" s="4" t="inlineStr">
        <is>
          <t>LED</t>
        </is>
      </c>
      <c r="C24" s="5" t="inlineStr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6" t="inlineStr">
        <is>
          <t>RESULTADO ESTIMADO</t>
        </is>
      </c>
      <c r="B27" s="5" t="n"/>
      <c r="C27" s="5" t="n"/>
    </row>
    <row r="28">
      <c r="A28" s="3" t="inlineStr">
        <is>
          <t>Volumen de cámara</t>
        </is>
      </c>
      <c r="B28" s="7">
        <f>IF(COUNT(B4:B6)=3,B4*B5*B6,"")</f>
        <v/>
      </c>
      <c r="C28" s="5" t="inlineStr">
        <is>
          <t>m³</t>
        </is>
      </c>
    </row>
    <row r="29">
      <c r="A29" s="3" t="inlineStr">
        <is>
          <t>Superficie aproximada</t>
        </is>
      </c>
      <c r="B29" s="7">
        <f>IF(COUNT(B4:B6)=3,2*(B4*B5+B4*B6+B5*B6),"")</f>
        <v/>
      </c>
      <c r="C29" s="5" t="inlineStr">
        <is>
          <t>m²</t>
        </is>
      </c>
    </row>
    <row r="30">
      <c r="A30" s="3" t="inlineStr">
        <is>
          <t>Factor por servicio</t>
        </is>
      </c>
      <c r="B30" s="7">
        <f>IF(B12="Conservación",1,IF(B12="Enfriamiento",1.35,1.8))</f>
        <v/>
      </c>
      <c r="C30" s="5" t="inlineStr"/>
    </row>
    <row r="31">
      <c r="A31" s="3" t="inlineStr">
        <is>
          <t>HP base orientativo</t>
        </is>
      </c>
      <c r="B31" s="7">
        <f>IF(B7="Seleccionar","",IF(B7&gt;=0,(B28/12)*B30,(B28/6)*B30))</f>
        <v/>
      </c>
      <c r="C31" s="5" t="inlineStr">
        <is>
          <t>HP</t>
        </is>
      </c>
    </row>
    <row r="32">
      <c r="A32" s="3" t="inlineStr">
        <is>
          <t>HP recomendado orientativo</t>
        </is>
      </c>
      <c r="B32" s="7">
        <f>IF(B31="","",IF(B31&lt;=0.5,0.5,IF(B31&lt;=0.75,0.75,IF(B31&lt;=1,1,IF(B31&lt;=1.5,1.5,IF(B31&lt;=2,2,IF(B31&lt;=3,3,IF(B31&lt;=4,4,IF(B31&lt;=5,5,IF(B31&lt;=7.5,7.5,10))))))))))</f>
        <v/>
      </c>
      <c r="C32" s="5" t="inlineStr">
        <is>
          <t>HP nominal</t>
        </is>
      </c>
    </row>
    <row r="33">
      <c r="A33" s="3" t="inlineStr">
        <is>
          <t>Gas recomendado (orientativo)</t>
        </is>
      </c>
      <c r="B33" s="8">
        <f>IF(B7="Seleccionar","",IF(B7&gt;=0,"R290 o R448A/R449A según equipo",IF(B7&gt;=-10,"R290 o R448A/R449A según aplicación","R448A/R449A o R290 según diseño y equipo")))</f>
        <v/>
      </c>
      <c r="C33" s="5" t="inlineStr"/>
    </row>
    <row r="34">
      <c r="A34" s="3" t="inlineStr">
        <is>
          <t>Estado</t>
        </is>
      </c>
      <c r="B34" s="8">
        <f>IF(OR(B4="",B5="",B6="",B7="Seleccionar"),"COMPLETAR DATOS BÁSICOS","RESULTADO PRELIMINAR - VERIFICAR CARGA TÉRMICA")</f>
        <v/>
      </c>
      <c r="C34" s="5" t="inlineStr"/>
    </row>
  </sheetData>
  <mergeCells count="3">
    <mergeCell ref="A1:D1"/>
    <mergeCell ref="A27:C27"/>
    <mergeCell ref="A2:D2"/>
  </mergeCells>
  <dataValidations count="8">
    <dataValidation sqref="B7" showDropDown="0" showInputMessage="0" showErrorMessage="0" allowBlank="0" type="list">
      <formula1>'Listas'!$A$2:$A$14</formula1>
    </dataValidation>
    <dataValidation sqref="B8" showDropDown="0" showInputMessage="0" showErrorMessage="0" allowBlank="0" type="list">
      <formula1>'Listas'!$B$2:$B$6</formula1>
    </dataValidation>
    <dataValidation sqref="B10" showDropDown="0" showInputMessage="0" showErrorMessage="0" allowBlank="0" type="list">
      <formula1>'Listas'!$C$2:$C$8</formula1>
    </dataValidation>
    <dataValidation sqref="B11" showDropDown="0" showInputMessage="0" showErrorMessage="0" allowBlank="0" type="list">
      <formula1>'Listas'!$D$2:$D$3</formula1>
    </dataValidation>
    <dataValidation sqref="B12" showDropDown="0" showInputMessage="0" showErrorMessage="0" allowBlank="0" type="list">
      <formula1>'Listas'!$E$2:$E$4</formula1>
    </dataValidation>
    <dataValidation sqref="B13" showDropDown="0" showInputMessage="0" showErrorMessage="0" allowBlank="0" type="list">
      <formula1>'Listas'!$F$2:$F$12</formula1>
    </dataValidation>
    <dataValidation sqref="B21" showDropDown="0" showInputMessage="0" showErrorMessage="0" allowBlank="0" type="list">
      <formula1>'Listas'!$G$2:$G$4</formula1>
    </dataValidation>
    <dataValidation sqref="B24" showDropDown="0" showInputMessage="0" showErrorMessage="0" allowBlank="0" type="list">
      <formula1>'Listas'!$H$2:$H$4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temp_int</t>
        </is>
      </c>
      <c r="B1" t="inlineStr">
        <is>
          <t>temp_ext</t>
        </is>
      </c>
      <c r="C1" t="inlineStr">
        <is>
          <t>espesor</t>
        </is>
      </c>
      <c r="D1" t="inlineStr">
        <is>
          <t>si_no</t>
        </is>
      </c>
      <c r="E1" t="inlineStr">
        <is>
          <t>servicio</t>
        </is>
      </c>
      <c r="F1" t="inlineStr">
        <is>
          <t>producto</t>
        </is>
      </c>
      <c r="G1" t="inlineStr">
        <is>
          <t>aperturas</t>
        </is>
      </c>
      <c r="H1" t="inlineStr">
        <is>
          <t>iluminacion</t>
        </is>
      </c>
    </row>
    <row r="2">
      <c r="A2" t="n">
        <v>-30</v>
      </c>
      <c r="B2" t="n">
        <v>30</v>
      </c>
      <c r="C2" t="n">
        <v>40</v>
      </c>
      <c r="D2" t="inlineStr">
        <is>
          <t>Sí</t>
        </is>
      </c>
      <c r="E2" t="inlineStr">
        <is>
          <t>Conservación</t>
        </is>
      </c>
      <c r="F2" t="inlineStr">
        <is>
          <t>Carne refrigerada</t>
        </is>
      </c>
      <c r="G2" t="inlineStr">
        <is>
          <t>Baja</t>
        </is>
      </c>
      <c r="H2" t="inlineStr">
        <is>
          <t>LED</t>
        </is>
      </c>
    </row>
    <row r="3">
      <c r="A3" t="n">
        <v>-25</v>
      </c>
      <c r="B3" t="n">
        <v>35</v>
      </c>
      <c r="C3" t="n">
        <v>50</v>
      </c>
      <c r="D3" t="inlineStr">
        <is>
          <t>No</t>
        </is>
      </c>
      <c r="E3" t="inlineStr">
        <is>
          <t>Enfriamiento</t>
        </is>
      </c>
      <c r="F3" t="inlineStr">
        <is>
          <t>Carne congelada</t>
        </is>
      </c>
      <c r="G3" t="inlineStr">
        <is>
          <t>Media</t>
        </is>
      </c>
      <c r="H3" t="inlineStr">
        <is>
          <t>Fluorescente</t>
        </is>
      </c>
    </row>
    <row r="4">
      <c r="A4" t="n">
        <v>-20</v>
      </c>
      <c r="B4" t="n">
        <v>40</v>
      </c>
      <c r="C4" t="n">
        <v>60</v>
      </c>
      <c r="E4" t="inlineStr">
        <is>
          <t>Congelado</t>
        </is>
      </c>
      <c r="F4" t="inlineStr">
        <is>
          <t>Pollo refrigerado</t>
        </is>
      </c>
      <c r="G4" t="inlineStr">
        <is>
          <t>Alta</t>
        </is>
      </c>
      <c r="H4" t="inlineStr">
        <is>
          <t>Otra</t>
        </is>
      </c>
    </row>
    <row r="5">
      <c r="A5" t="n">
        <v>-18</v>
      </c>
      <c r="B5" t="n">
        <v>45</v>
      </c>
      <c r="C5" t="n">
        <v>80</v>
      </c>
      <c r="F5" t="inlineStr">
        <is>
          <t>Pollo congelado</t>
        </is>
      </c>
    </row>
    <row r="6">
      <c r="A6" t="n">
        <v>-15</v>
      </c>
      <c r="B6" t="n">
        <v>50</v>
      </c>
      <c r="C6" t="n">
        <v>100</v>
      </c>
      <c r="F6" t="inlineStr">
        <is>
          <t>Lácteos</t>
        </is>
      </c>
    </row>
    <row r="7">
      <c r="A7" t="n">
        <v>-10</v>
      </c>
      <c r="C7" t="n">
        <v>120</v>
      </c>
      <c r="F7" t="inlineStr">
        <is>
          <t>Frutas y verduras</t>
        </is>
      </c>
    </row>
    <row r="8">
      <c r="A8" t="n">
        <v>-5</v>
      </c>
      <c r="C8" t="n">
        <v>150</v>
      </c>
      <c r="F8" t="inlineStr">
        <is>
          <t>Bebidas</t>
        </is>
      </c>
    </row>
    <row r="9">
      <c r="A9" t="n">
        <v>0</v>
      </c>
      <c r="F9" t="inlineStr">
        <is>
          <t>Helados</t>
        </is>
      </c>
    </row>
    <row r="10">
      <c r="A10" t="n">
        <v>2</v>
      </c>
      <c r="F10" t="inlineStr">
        <is>
          <t>Pescado</t>
        </is>
      </c>
    </row>
    <row r="11">
      <c r="A11" t="n">
        <v>4</v>
      </c>
      <c r="F11" t="inlineStr">
        <is>
          <t>Producto general</t>
        </is>
      </c>
    </row>
    <row r="12">
      <c r="A12" t="n">
        <v>5</v>
      </c>
      <c r="F12" t="inlineStr">
        <is>
          <t>Otro</t>
        </is>
      </c>
    </row>
    <row r="13">
      <c r="A13" t="n">
        <v>8</v>
      </c>
    </row>
    <row r="14">
      <c r="A1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9" t="inlineStr">
        <is>
          <t>GUÍA DE USO</t>
        </is>
      </c>
    </row>
    <row r="3">
      <c r="A3" s="10" t="inlineStr">
        <is>
          <t>Paso 1</t>
        </is>
      </c>
      <c r="B3" s="11" t="inlineStr">
        <is>
          <t>Completar las celdas azules.</t>
        </is>
      </c>
    </row>
    <row r="4">
      <c r="A4" s="10" t="inlineStr">
        <is>
          <t>Paso 2</t>
        </is>
      </c>
      <c r="B4" s="11" t="inlineStr">
        <is>
          <t>Seleccionar temperatura, servicio, producto, aislación y condiciones de uso.</t>
        </is>
      </c>
    </row>
    <row r="5">
      <c r="A5" s="10" t="inlineStr">
        <is>
          <t>Paso 3</t>
        </is>
      </c>
      <c r="B5" s="11" t="inlineStr">
        <is>
          <t>El archivo calcula primero los m³ y usa como referencia rápida la regla: media temperatura ≈ m³/12 y baja temperatura ≈ m³/6.</t>
        </is>
      </c>
    </row>
    <row r="6">
      <c r="A6" s="10" t="inlineStr">
        <is>
          <t>Paso 4</t>
        </is>
      </c>
      <c r="B6" s="11" t="inlineStr">
        <is>
          <t>Se aplica un factor adicional según el servicio: conservación, enfriamiento o congelado.</t>
        </is>
      </c>
    </row>
    <row r="7">
      <c r="A7" s="10" t="inlineStr">
        <is>
          <t>Importante</t>
        </is>
      </c>
      <c r="B7" s="11" t="inlineStr">
        <is>
          <t>La selección definitiva debe hacerse con carga térmica completa y capacidad frigorífica del fabricante a la temperatura de evaporación y condensación reales.</t>
        </is>
      </c>
    </row>
    <row r="8">
      <c r="A8" s="10" t="inlineStr">
        <is>
          <t>Refrigerante</t>
        </is>
      </c>
      <c r="B8" s="11" t="inlineStr">
        <is>
          <t>La recomendación es solamente orientativa. El refrigerante final depende del tipo de unidad, normativa y diseño del sistema. R290 requiere equipos específicamente diseñados para su uso.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2026-08-19T19:07:41Z</dcterms:created>
  <dcterms:modified xmlns:dcterms="http://purl.org/dc/terms/" xmlns:xsi="http://www.w3.org/2001/XMLSchema-instance" xsi:type="dcterms:W3CDTF">2026-08-19T19:07:41Z</dcterms:modified>
</cp:coreProperties>
</file>